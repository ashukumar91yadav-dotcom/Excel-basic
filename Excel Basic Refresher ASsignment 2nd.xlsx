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5253a7f8e84eb6/Documents/"/>
    </mc:Choice>
  </mc:AlternateContent>
  <xr:revisionPtr revIDLastSave="2" documentId="8_{7C5CF1CE-917C-4446-9FE3-4174325D08E6}" xr6:coauthVersionLast="47" xr6:coauthVersionMax="47" xr10:uidLastSave="{C99A01A0-652D-4811-92CA-3FFC7BA49DCA}"/>
  <bookViews>
    <workbookView xWindow="3630" yWindow="3045" windowWidth="15375" windowHeight="7875" xr2:uid="{C3A6477A-7A8F-4706-A688-25BA098B0359}"/>
  </bookViews>
  <sheets>
    <sheet name="Question-1 and Answer-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4" i="1" l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K50" i="1"/>
  <c r="N36" i="1"/>
  <c r="F27" i="1"/>
  <c r="E17" i="1"/>
  <c r="H3" i="1"/>
  <c r="I3" i="1"/>
  <c r="H4" i="1"/>
  <c r="I4" i="1"/>
  <c r="H5" i="1"/>
  <c r="I5" i="1"/>
  <c r="H6" i="1"/>
  <c r="I6" i="1"/>
  <c r="H7" i="1"/>
  <c r="I7" i="1"/>
  <c r="J4" i="1"/>
  <c r="J5" i="1"/>
  <c r="J6" i="1"/>
  <c r="J7" i="1"/>
  <c r="J3" i="1"/>
  <c r="K61" i="1" l="1"/>
  <c r="K60" i="1"/>
  <c r="K62" i="1"/>
  <c r="K58" i="1"/>
  <c r="K59" i="1"/>
</calcChain>
</file>

<file path=xl/sharedStrings.xml><?xml version="1.0" encoding="utf-8"?>
<sst xmlns="http://schemas.openxmlformats.org/spreadsheetml/2006/main" count="207" uniqueCount="107">
  <si>
    <t>B</t>
  </si>
  <si>
    <t>C</t>
  </si>
  <si>
    <t xml:space="preserve">Absolute Cell Reference </t>
  </si>
  <si>
    <t>Mixed Cell Reference</t>
  </si>
  <si>
    <t>Relative Cell Reference</t>
  </si>
  <si>
    <t>Example</t>
  </si>
  <si>
    <t>here cell refrences changes</t>
  </si>
  <si>
    <t>here the cell references are consider to be constant</t>
  </si>
  <si>
    <t>here one cell reference is consider constant and others is changes relatively</t>
  </si>
  <si>
    <r>
      <rPr>
        <b/>
        <sz val="11"/>
        <color theme="1"/>
        <rFont val="Aptos Narrow"/>
        <family val="2"/>
        <scheme val="minor"/>
      </rPr>
      <t>Q1 - Explain the difference between Relative , Absolute and Mixed Cell Referencing.                                                                                              Ans- 1</t>
    </r>
    <r>
      <rPr>
        <sz val="11"/>
        <color theme="1"/>
        <rFont val="Aptos Narrow"/>
        <family val="2"/>
        <scheme val="minor"/>
      </rPr>
      <t xml:space="preserve">       </t>
    </r>
    <r>
      <rPr>
        <b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 </t>
    </r>
    <r>
      <rPr>
        <sz val="11"/>
        <color rgb="FFC00000"/>
        <rFont val="Amasis MT Pro Medium"/>
        <family val="1"/>
      </rPr>
      <t>Relative Cell Reference-A relative cell reference is a default cell reference in spreadsheet programs like Excel that automatically adjusts when a formula is copied to a different cell</t>
    </r>
    <r>
      <rPr>
        <sz val="11"/>
        <color rgb="FFC00000"/>
        <rFont val="Aptos Narrow"/>
        <family val="2"/>
        <scheme val="minor"/>
      </rPr>
      <t xml:space="preserve"> .                                                                                                                                                 </t>
    </r>
    <r>
      <rPr>
        <b/>
        <sz val="11"/>
        <rFont val="Aptos Narrow"/>
        <family val="2"/>
        <scheme val="minor"/>
      </rPr>
      <t>ii</t>
    </r>
    <r>
      <rPr>
        <sz val="11"/>
        <color rgb="FFC00000"/>
        <rFont val="Aptos Narrow"/>
        <family val="2"/>
        <scheme val="minor"/>
      </rPr>
      <t xml:space="preserve">  </t>
    </r>
    <r>
      <rPr>
        <sz val="11"/>
        <color rgb="FFC00000"/>
        <rFont val="Amasis MT Pro Medium"/>
        <family val="1"/>
      </rPr>
      <t>Absolute Cell Refernce-An absolute cell reference is a formula in spreadsheet programs that locks a cell's reference so it does not change when copied to other cells.</t>
    </r>
    <r>
      <rPr>
        <sz val="11"/>
        <color rgb="FFC00000"/>
        <rFont val="Aptos Narrow"/>
        <family val="2"/>
        <scheme val="minor"/>
      </rPr>
      <t xml:space="preserve">                                                                                                                                            </t>
    </r>
    <r>
      <rPr>
        <b/>
        <sz val="11"/>
        <rFont val="Aptos Narrow"/>
        <family val="2"/>
        <scheme val="minor"/>
      </rPr>
      <t>iii</t>
    </r>
    <r>
      <rPr>
        <sz val="11"/>
        <color rgb="FFC00000"/>
        <rFont val="Aptos Narrow"/>
        <family val="2"/>
        <scheme val="minor"/>
      </rPr>
      <t xml:space="preserve"> </t>
    </r>
    <r>
      <rPr>
        <sz val="11"/>
        <color rgb="FFC00000"/>
        <rFont val="Amasis MT Pro Medium"/>
        <family val="1"/>
      </rPr>
      <t>Mixed cell reference- A mixed cell reference combines an absolute (fixed) and a relative (changing) reference, using a dollar sign ($) to lock either the column or the row</t>
    </r>
    <r>
      <rPr>
        <sz val="11"/>
        <color rgb="FFC00000"/>
        <rFont val="Aptos Narrow"/>
        <family val="2"/>
        <scheme val="minor"/>
      </rPr>
      <t xml:space="preserve"> .</t>
    </r>
  </si>
  <si>
    <t>Car</t>
  </si>
  <si>
    <t xml:space="preserve">Bicycle </t>
  </si>
  <si>
    <t>Auto-Rikshaw</t>
  </si>
  <si>
    <t>Vehicle</t>
  </si>
  <si>
    <t>Price</t>
  </si>
  <si>
    <t>Q2- Write a formula to calculate the total sales of Car and Bicyle only .</t>
  </si>
  <si>
    <t>total sales of car and bicycle =SUM(C17:C18)</t>
  </si>
  <si>
    <t>Answer</t>
  </si>
  <si>
    <t xml:space="preserve">Items </t>
  </si>
  <si>
    <t xml:space="preserve">Price </t>
  </si>
  <si>
    <t>Sales</t>
  </si>
  <si>
    <t>A</t>
  </si>
  <si>
    <t>Q3- Using the data below, write a formula to calculate the average sales of items priced above 100 but less than 300.</t>
  </si>
  <si>
    <t xml:space="preserve"> the average sales of items priced above 100 but less than 300.</t>
  </si>
  <si>
    <t>Equals to AVERAGEIFS(D27:D29,C27:C29,"&gt;100",C27:C29,"&lt;300")</t>
  </si>
  <si>
    <t>Formula Used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</si>
  <si>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</si>
  <si>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</si>
  <si>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</si>
  <si>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</si>
  <si>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</si>
  <si>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</si>
  <si>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</si>
  <si>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</si>
  <si>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</si>
  <si>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</si>
  <si>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</si>
  <si>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</si>
  <si>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</si>
  <si>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</si>
  <si>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</si>
  <si>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</si>
  <si>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</si>
  <si>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</si>
  <si>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</si>
  <si>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</si>
  <si>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</si>
  <si>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</si>
  <si>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</si>
  <si>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</si>
  <si>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</si>
  <si>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</si>
  <si>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</si>
  <si>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</si>
  <si>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</si>
  <si>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</si>
  <si>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</si>
  <si>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</si>
  <si>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</si>
  <si>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</si>
  <si>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</si>
  <si>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</si>
  <si>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</si>
  <si>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</si>
  <si>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</si>
  <si>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</si>
  <si>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</si>
  <si>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</si>
  <si>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</si>
  <si>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</si>
  <si>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</si>
  <si>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</si>
  <si>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</si>
  <si>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</si>
  <si>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</si>
  <si>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</si>
  <si>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</si>
  <si>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</si>
  <si>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</si>
  <si>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</si>
  <si>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</si>
  <si>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</si>
  <si>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</si>
  <si>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</si>
  <si>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</si>
  <si>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</si>
  <si>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</si>
  <si>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</si>
  <si>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</si>
  <si>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</si>
  <si>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</si>
  <si>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</si>
  <si>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 xml:space="preserve"> Note : Use the following Dataset and solve the following questions.</t>
  </si>
  <si>
    <t>Q4-  Count how many customer names are recorded</t>
  </si>
  <si>
    <t>Formula used =COUNTA(B34:B83)</t>
  </si>
  <si>
    <t>50 customer names are recorded in this data</t>
  </si>
  <si>
    <t>Q5-  Calculate the Total Sales for each row using a formula.</t>
  </si>
  <si>
    <t>Total sales</t>
  </si>
  <si>
    <t xml:space="preserve">Formula used- Total sales =quantity *unit price </t>
  </si>
  <si>
    <t>Answer in Total sales column</t>
  </si>
  <si>
    <t>Q6- Calculate the total sales of Notebooks in the North region only</t>
  </si>
  <si>
    <t>Answer-</t>
  </si>
  <si>
    <r>
      <t>Formula</t>
    </r>
    <r>
      <rPr>
        <sz val="12"/>
        <color rgb="FF1F1F1F"/>
        <rFont val="Arial"/>
        <family val="2"/>
      </rPr>
      <t>:=SUMIFS(H34:H83,C34:C83,"NORTH",D34:D83,"Notebook")</t>
    </r>
  </si>
  <si>
    <t>Q7-Create a column chart showing total sales by product.</t>
  </si>
  <si>
    <t xml:space="preserve">Product </t>
  </si>
  <si>
    <t>Total Sales</t>
  </si>
  <si>
    <t>Q8-  Insert a line chart showing daily sales trend.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</si>
</sst>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C00000"/>
      <name val="Amasis MT Pro Medium"/>
      <family val="1"/>
    </font>
    <font>
      <sz val="8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rgb="FFFF0000"/>
      <name val="Aptos Narrow"/>
      <family val="2"/>
      <scheme val="minor"/>
    </font>
    <font>
      <b/>
      <sz val="12"/>
      <color rgb="FF1F1F1F"/>
      <name val="Arial"/>
      <family val="2"/>
    </font>
    <font>
      <sz val="12"/>
      <color rgb="FF1F1F1F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0" borderId="0" xfId="0" applyFill="1"/>
    <xf numFmtId="0" fontId="1" fillId="0" borderId="0" xfId="0" applyFont="1" applyFill="1" applyAlignment="1">
      <alignment horizontal="center" wrapText="1"/>
    </xf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164" fontId="0" fillId="10" borderId="1" xfId="0" applyNumberForma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0" borderId="0" xfId="0" applyFont="1" applyFill="1" applyAlignment="1">
      <alignment vertical="center" wrapText="1"/>
    </xf>
    <xf numFmtId="0" fontId="1" fillId="13" borderId="1" xfId="0" applyFont="1" applyFill="1" applyBorder="1" applyAlignment="1">
      <alignment horizontal="center"/>
    </xf>
    <xf numFmtId="0" fontId="3" fillId="13" borderId="3" xfId="0" applyFont="1" applyFill="1" applyBorder="1" applyAlignment="1">
      <alignment horizontal="center"/>
    </xf>
    <xf numFmtId="0" fontId="9" fillId="18" borderId="4" xfId="0" applyFont="1" applyFill="1" applyBorder="1" applyAlignment="1">
      <alignment horizontal="center" wrapText="1"/>
    </xf>
    <xf numFmtId="0" fontId="10" fillId="16" borderId="4" xfId="0" applyFont="1" applyFill="1" applyBorder="1" applyAlignment="1">
      <alignment horizontal="center" wrapText="1"/>
    </xf>
    <xf numFmtId="0" fontId="10" fillId="19" borderId="4" xfId="0" applyFont="1" applyFill="1" applyBorder="1" applyAlignment="1">
      <alignment horizontal="center" wrapText="1"/>
    </xf>
    <xf numFmtId="14" fontId="10" fillId="19" borderId="4" xfId="0" applyNumberFormat="1" applyFont="1" applyFill="1" applyBorder="1" applyAlignment="1">
      <alignment horizontal="center" wrapText="1"/>
    </xf>
    <xf numFmtId="0" fontId="9" fillId="20" borderId="4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11" fillId="21" borderId="6" xfId="0" applyFont="1" applyFill="1" applyBorder="1" applyAlignment="1">
      <alignment horizontal="center" wrapText="1"/>
    </xf>
    <xf numFmtId="0" fontId="0" fillId="1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 wrapText="1"/>
    </xf>
    <xf numFmtId="0" fontId="0" fillId="18" borderId="0" xfId="0" applyFill="1" applyAlignment="1">
      <alignment horizontal="center" vertical="center"/>
    </xf>
    <xf numFmtId="0" fontId="13" fillId="23" borderId="0" xfId="0" applyFont="1" applyFill="1" applyAlignment="1">
      <alignment horizontal="center" wrapText="1"/>
    </xf>
    <xf numFmtId="0" fontId="0" fillId="21" borderId="0" xfId="0" applyFill="1" applyAlignment="1">
      <alignment horizontal="center" vertical="center"/>
    </xf>
    <xf numFmtId="0" fontId="12" fillId="21" borderId="0" xfId="0" applyFont="1" applyFill="1" applyAlignment="1">
      <alignment horizontal="center" vertical="center"/>
    </xf>
    <xf numFmtId="0" fontId="12" fillId="21" borderId="0" xfId="0" applyFont="1" applyFill="1" applyAlignment="1">
      <alignment horizontal="center" vertical="center" wrapText="1"/>
    </xf>
    <xf numFmtId="0" fontId="0" fillId="10" borderId="0" xfId="0" applyFill="1" applyBorder="1" applyAlignment="1">
      <alignment horizontal="center" vertical="center"/>
    </xf>
    <xf numFmtId="0" fontId="0" fillId="21" borderId="0" xfId="0" applyFill="1" applyAlignment="1">
      <alignment horizontal="center" vertical="center" wrapText="1"/>
    </xf>
    <xf numFmtId="0" fontId="0" fillId="22" borderId="0" xfId="0" applyFill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8" borderId="5" xfId="0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17" borderId="0" xfId="0" applyFill="1" applyAlignment="1">
      <alignment horizontal="center" wrapText="1"/>
    </xf>
    <xf numFmtId="0" fontId="1" fillId="17" borderId="0" xfId="0" applyFont="1" applyFill="1" applyAlignment="1">
      <alignment horizontal="center"/>
    </xf>
    <xf numFmtId="0" fontId="1" fillId="15" borderId="0" xfId="0" applyFont="1" applyFill="1" applyAlignment="1">
      <alignment horizontal="center" vertical="center" wrapText="1"/>
    </xf>
    <xf numFmtId="0" fontId="1" fillId="15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0" fillId="12" borderId="1" xfId="0" applyFill="1" applyBorder="1" applyAlignment="1">
      <alignment horizontal="center" vertical="center" wrapText="1"/>
    </xf>
    <xf numFmtId="164" fontId="0" fillId="4" borderId="3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top" wrapText="1"/>
    </xf>
    <xf numFmtId="0" fontId="5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 Column chart showing 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'Question-1 and Answer-1'!$J$58</c:f>
              <c:strCache>
                <c:ptCount val="1"/>
                <c:pt idx="0">
                  <c:v>Notebook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'Question-1 and Answer-1'!$K$57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'Question-1 and Answer-1'!$K$58</c:f>
              <c:numCache>
                <c:formatCode>General</c:formatCode>
                <c:ptCount val="1"/>
                <c:pt idx="0">
                  <c:v>7550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E5-4020-9F43-1F4241D8B3D5}"/>
            </c:ext>
          </c:extLst>
        </c:ser>
        <c:ser>
          <c:idx val="1"/>
          <c:order val="1"/>
          <c:tx>
            <c:strRef>
              <c:f>'Question-1 and Answer-1'!$J$59</c:f>
              <c:strCache>
                <c:ptCount val="1"/>
                <c:pt idx="0">
                  <c:v>Pen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'Question-1 and Answer-1'!$K$57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'Question-1 and Answer-1'!$K$59</c:f>
              <c:numCache>
                <c:formatCode>General</c:formatCode>
                <c:ptCount val="1"/>
                <c:pt idx="0">
                  <c:v>2180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E5-4020-9F43-1F4241D8B3D5}"/>
            </c:ext>
          </c:extLst>
        </c:ser>
        <c:ser>
          <c:idx val="2"/>
          <c:order val="2"/>
          <c:tx>
            <c:strRef>
              <c:f>'Question-1 and Answer-1'!$J$60</c:f>
              <c:strCache>
                <c:ptCount val="1"/>
                <c:pt idx="0">
                  <c:v>Pencil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'Question-1 and Answer-1'!$K$57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'Question-1 and Answer-1'!$K$60</c:f>
              <c:numCache>
                <c:formatCode>General</c:formatCode>
                <c:ptCount val="1"/>
                <c:pt idx="0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E5-4020-9F43-1F4241D8B3D5}"/>
            </c:ext>
          </c:extLst>
        </c:ser>
        <c:ser>
          <c:idx val="3"/>
          <c:order val="3"/>
          <c:tx>
            <c:strRef>
              <c:f>'Question-1 and Answer-1'!$J$61</c:f>
              <c:strCache>
                <c:ptCount val="1"/>
                <c:pt idx="0">
                  <c:v>Eraser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'Question-1 and Answer-1'!$K$57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'Question-1 and Answer-1'!$K$61</c:f>
              <c:numCache>
                <c:formatCode>General</c:formatCode>
                <c:ptCount val="1"/>
                <c:pt idx="0">
                  <c:v>1928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E5-4020-9F43-1F4241D8B3D5}"/>
            </c:ext>
          </c:extLst>
        </c:ser>
        <c:ser>
          <c:idx val="4"/>
          <c:order val="4"/>
          <c:tx>
            <c:strRef>
              <c:f>'Question-1 and Answer-1'!$J$62</c:f>
              <c:strCache>
                <c:ptCount val="1"/>
                <c:pt idx="0">
                  <c:v>Marker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'Question-1 and Answer-1'!$K$57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'Question-1 and Answer-1'!$K$62</c:f>
              <c:numCache>
                <c:formatCode>General</c:formatCode>
                <c:ptCount val="1"/>
                <c:pt idx="0">
                  <c:v>3650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E5-4020-9F43-1F4241D8B3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17694592"/>
        <c:axId val="317684512"/>
      </c:barChart>
      <c:catAx>
        <c:axId val="31769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684512"/>
        <c:crosses val="autoZero"/>
        <c:auto val="1"/>
        <c:lblAlgn val="ctr"/>
        <c:lblOffset val="100"/>
        <c:noMultiLvlLbl val="0"/>
      </c:catAx>
      <c:valAx>
        <c:axId val="31768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69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'Question-1 and Answer-1'!$H$33</c:f>
              <c:strCache>
                <c:ptCount val="1"/>
                <c:pt idx="0">
                  <c:v>Total sales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'Question-1 and Answer-1'!$G$34:$G$83</c:f>
              <c:numCache>
                <c:formatCode>m/d/yyyy</c:formatCode>
                <c:ptCount val="50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cat>
          <c:val>
            <c:numRef>
              <c:f>'Question-1 and Answer-1'!$H$34:$H$83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8D-4A90-965F-EBC8551257D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7644416"/>
        <c:axId val="127644896"/>
      </c:lineChart>
      <c:dateAx>
        <c:axId val="1276444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44896"/>
        <c:crosses val="autoZero"/>
        <c:auto val="1"/>
        <c:lblOffset val="100"/>
        <c:baseTimeUnit val="days"/>
      </c:dateAx>
      <c:valAx>
        <c:axId val="12764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4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28574</xdr:colOff>
      <xdr:row>55</xdr:row>
      <xdr:rowOff>195261</xdr:rowOff>
    </xdr:from>
    <xdr:to>
      <xdr:col>20</xdr:col>
      <xdr:colOff>600074</xdr:colOff>
      <xdr:row>71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B2DE8F-10E0-D7A8-0C18-A5540F0F71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19051</xdr:colOff>
      <xdr:row>73</xdr:row>
      <xdr:rowOff>185737</xdr:rowOff>
    </xdr:from>
    <xdr:to>
      <xdr:col>20</xdr:col>
      <xdr:colOff>600076</xdr:colOff>
      <xdr:row>98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10B5ED-89AD-C433-5C91-0254A2EA1D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5CD74-0654-40E9-9BEE-5D2C37A4427C}">
  <dimension ref="A1:U83"/>
  <sheetViews>
    <sheetView tabSelected="1" topLeftCell="B8" workbookViewId="0">
      <selection activeCell="I69" sqref="I69"/>
    </sheetView>
  </sheetViews>
  <sheetFormatPr defaultRowHeight="15" x14ac:dyDescent="0.25"/>
  <cols>
    <col min="1" max="1" width="14.7109375" customWidth="1"/>
    <col min="2" max="2" width="15.85546875" customWidth="1"/>
    <col min="3" max="3" width="15.28515625" customWidth="1"/>
    <col min="4" max="4" width="18.42578125" customWidth="1"/>
    <col min="5" max="5" width="25.5703125" customWidth="1"/>
    <col min="6" max="6" width="15.42578125" customWidth="1"/>
    <col min="7" max="7" width="12.42578125" customWidth="1"/>
    <col min="8" max="8" width="16.85546875" customWidth="1"/>
    <col min="9" max="9" width="13.5703125" customWidth="1"/>
    <col min="10" max="10" width="16.85546875" customWidth="1"/>
    <col min="11" max="11" width="12.140625" customWidth="1"/>
    <col min="13" max="13" width="8.7109375" bestFit="1" customWidth="1"/>
  </cols>
  <sheetData>
    <row r="1" spans="1:10" ht="15.75" customHeight="1" x14ac:dyDescent="0.25">
      <c r="F1" s="7"/>
    </row>
    <row r="2" spans="1:10" x14ac:dyDescent="0.25">
      <c r="A2" s="53" t="s">
        <v>9</v>
      </c>
      <c r="B2" s="53"/>
      <c r="C2" s="53"/>
      <c r="D2" s="53"/>
      <c r="F2" s="1" t="s">
        <v>0</v>
      </c>
      <c r="G2" s="1" t="s">
        <v>1</v>
      </c>
      <c r="H2" s="5" t="s">
        <v>4</v>
      </c>
      <c r="I2" s="5" t="s">
        <v>2</v>
      </c>
      <c r="J2" s="5" t="s">
        <v>3</v>
      </c>
    </row>
    <row r="3" spans="1:10" ht="15" customHeight="1" x14ac:dyDescent="0.25">
      <c r="A3" s="53"/>
      <c r="B3" s="53"/>
      <c r="C3" s="53"/>
      <c r="D3" s="53"/>
      <c r="E3" s="54" t="s">
        <v>5</v>
      </c>
      <c r="F3" s="2">
        <v>1</v>
      </c>
      <c r="G3" s="2">
        <v>2</v>
      </c>
      <c r="H3" s="4">
        <f>F3+G3</f>
        <v>3</v>
      </c>
      <c r="I3" s="4">
        <f>$F$3+$G$3</f>
        <v>3</v>
      </c>
      <c r="J3" s="4">
        <f>F3+$G$3</f>
        <v>3</v>
      </c>
    </row>
    <row r="4" spans="1:10" ht="15.75" customHeight="1" x14ac:dyDescent="0.25">
      <c r="A4" s="53"/>
      <c r="B4" s="53"/>
      <c r="C4" s="53"/>
      <c r="D4" s="53"/>
      <c r="E4" s="54"/>
      <c r="F4" s="2">
        <v>3</v>
      </c>
      <c r="G4" s="2">
        <v>4</v>
      </c>
      <c r="H4" s="4">
        <f t="shared" ref="H4:H7" si="0">F4+G4</f>
        <v>7</v>
      </c>
      <c r="I4" s="4">
        <f>$F$3+$G$3</f>
        <v>3</v>
      </c>
      <c r="J4" s="4">
        <f>F4+$G$3</f>
        <v>5</v>
      </c>
    </row>
    <row r="5" spans="1:10" ht="15" customHeight="1" x14ac:dyDescent="0.25">
      <c r="A5" s="53"/>
      <c r="B5" s="53"/>
      <c r="C5" s="53"/>
      <c r="D5" s="53"/>
      <c r="E5" s="54"/>
      <c r="F5" s="3">
        <v>5</v>
      </c>
      <c r="G5" s="2">
        <v>6</v>
      </c>
      <c r="H5" s="4">
        <f t="shared" si="0"/>
        <v>11</v>
      </c>
      <c r="I5" s="4">
        <f>$F$3+$G$3</f>
        <v>3</v>
      </c>
      <c r="J5" s="4">
        <f>F5+$G$3</f>
        <v>7</v>
      </c>
    </row>
    <row r="6" spans="1:10" x14ac:dyDescent="0.25">
      <c r="A6" s="53"/>
      <c r="B6" s="53"/>
      <c r="C6" s="53"/>
      <c r="D6" s="53"/>
      <c r="E6" s="54"/>
      <c r="F6" s="2">
        <v>7</v>
      </c>
      <c r="G6" s="2">
        <v>8</v>
      </c>
      <c r="H6" s="4">
        <f t="shared" si="0"/>
        <v>15</v>
      </c>
      <c r="I6" s="4">
        <f>$F$3+$G$3</f>
        <v>3</v>
      </c>
      <c r="J6" s="4">
        <f>F6+$G$3</f>
        <v>9</v>
      </c>
    </row>
    <row r="7" spans="1:10" x14ac:dyDescent="0.25">
      <c r="A7" s="53"/>
      <c r="B7" s="53"/>
      <c r="C7" s="53"/>
      <c r="D7" s="53"/>
      <c r="F7" s="2">
        <v>9</v>
      </c>
      <c r="G7" s="2">
        <v>10</v>
      </c>
      <c r="H7" s="4">
        <f t="shared" si="0"/>
        <v>19</v>
      </c>
      <c r="I7" s="4">
        <f>$F$3+$G$3</f>
        <v>3</v>
      </c>
      <c r="J7" s="4">
        <f>F7+$G$3</f>
        <v>11</v>
      </c>
    </row>
    <row r="8" spans="1:10" ht="71.25" customHeight="1" x14ac:dyDescent="0.25">
      <c r="A8" s="53"/>
      <c r="B8" s="53"/>
      <c r="C8" s="53"/>
      <c r="D8" s="53"/>
      <c r="H8" s="42" t="s">
        <v>6</v>
      </c>
      <c r="I8" s="42" t="s">
        <v>7</v>
      </c>
      <c r="J8" s="42" t="s">
        <v>8</v>
      </c>
    </row>
    <row r="9" spans="1:10" x14ac:dyDescent="0.25">
      <c r="A9" s="53"/>
      <c r="B9" s="53"/>
      <c r="C9" s="53"/>
      <c r="D9" s="53"/>
      <c r="F9" s="6"/>
      <c r="H9" s="43"/>
      <c r="I9" s="43"/>
      <c r="J9" s="43"/>
    </row>
    <row r="10" spans="1:10" x14ac:dyDescent="0.25">
      <c r="A10" s="53"/>
      <c r="B10" s="53"/>
      <c r="C10" s="53"/>
      <c r="D10" s="53"/>
    </row>
    <row r="11" spans="1:10" x14ac:dyDescent="0.25">
      <c r="A11" s="53"/>
      <c r="B11" s="53"/>
      <c r="C11" s="53"/>
      <c r="D11" s="53"/>
    </row>
    <row r="12" spans="1:10" x14ac:dyDescent="0.25">
      <c r="A12" s="53"/>
      <c r="B12" s="53"/>
      <c r="C12" s="53"/>
      <c r="D12" s="53"/>
    </row>
    <row r="14" spans="1:10" x14ac:dyDescent="0.25">
      <c r="A14" s="49" t="s">
        <v>15</v>
      </c>
      <c r="B14" s="50"/>
      <c r="C14" s="50"/>
      <c r="D14" s="50"/>
      <c r="E14" s="50"/>
    </row>
    <row r="16" spans="1:10" x14ac:dyDescent="0.25">
      <c r="B16" s="11" t="s">
        <v>13</v>
      </c>
      <c r="C16" s="11" t="s">
        <v>14</v>
      </c>
      <c r="D16" s="51" t="s">
        <v>16</v>
      </c>
      <c r="E16" s="19" t="s">
        <v>17</v>
      </c>
    </row>
    <row r="17" spans="1:10" x14ac:dyDescent="0.25">
      <c r="B17" s="12" t="s">
        <v>10</v>
      </c>
      <c r="C17" s="14">
        <v>500000</v>
      </c>
      <c r="D17" s="51"/>
      <c r="E17" s="52">
        <f>SUM(C17:C18)</f>
        <v>510500</v>
      </c>
    </row>
    <row r="18" spans="1:10" x14ac:dyDescent="0.25">
      <c r="A18" s="8"/>
      <c r="B18" s="13" t="s">
        <v>11</v>
      </c>
      <c r="C18" s="14">
        <v>10500</v>
      </c>
      <c r="D18" s="51"/>
      <c r="E18" s="52"/>
    </row>
    <row r="19" spans="1:10" x14ac:dyDescent="0.25">
      <c r="B19" s="12" t="s">
        <v>12</v>
      </c>
      <c r="C19" s="14">
        <v>25000</v>
      </c>
      <c r="D19" s="51"/>
    </row>
    <row r="20" spans="1:10" ht="15" customHeight="1" x14ac:dyDescent="0.25">
      <c r="H20" s="10"/>
    </row>
    <row r="21" spans="1:10" x14ac:dyDescent="0.25">
      <c r="A21" s="17"/>
      <c r="B21" s="17"/>
      <c r="C21" s="17"/>
      <c r="D21" s="17"/>
      <c r="E21" s="17"/>
      <c r="F21" s="17"/>
      <c r="G21" s="17"/>
    </row>
    <row r="22" spans="1:10" ht="15" customHeight="1" x14ac:dyDescent="0.25">
      <c r="A22" s="48" t="s">
        <v>22</v>
      </c>
      <c r="B22" s="48"/>
      <c r="C22" s="48"/>
      <c r="D22" s="48"/>
      <c r="E22" s="48"/>
      <c r="F22" s="48"/>
      <c r="G22" s="48"/>
    </row>
    <row r="23" spans="1:10" x14ac:dyDescent="0.25">
      <c r="A23" s="48"/>
      <c r="B23" s="48"/>
      <c r="C23" s="48"/>
      <c r="D23" s="48"/>
      <c r="E23" s="48"/>
      <c r="F23" s="48"/>
      <c r="G23" s="48"/>
    </row>
    <row r="24" spans="1:10" x14ac:dyDescent="0.25">
      <c r="A24" s="48"/>
      <c r="B24" s="48"/>
      <c r="C24" s="48"/>
      <c r="D24" s="48"/>
      <c r="E24" s="48"/>
      <c r="F24" s="48"/>
      <c r="G24" s="48"/>
    </row>
    <row r="26" spans="1:10" ht="22.5" customHeight="1" x14ac:dyDescent="0.25">
      <c r="B26" s="15" t="s">
        <v>18</v>
      </c>
      <c r="C26" s="15" t="s">
        <v>19</v>
      </c>
      <c r="D26" s="15" t="s">
        <v>20</v>
      </c>
      <c r="E26" s="44" t="s">
        <v>23</v>
      </c>
      <c r="F26" s="18" t="s">
        <v>17</v>
      </c>
      <c r="H26" s="47" t="s">
        <v>25</v>
      </c>
      <c r="I26" s="47"/>
      <c r="J26" s="47"/>
    </row>
    <row r="27" spans="1:10" ht="30" customHeight="1" x14ac:dyDescent="0.25">
      <c r="B27" s="16" t="s">
        <v>21</v>
      </c>
      <c r="C27" s="9">
        <v>90</v>
      </c>
      <c r="D27" s="9">
        <v>1000</v>
      </c>
      <c r="E27" s="44"/>
      <c r="F27" s="45">
        <f>AVERAGEIFS(D27:D29,C27:C29,"&gt;100",C27:C29,"&lt;300")</f>
        <v>1350</v>
      </c>
      <c r="H27" s="46" t="s">
        <v>24</v>
      </c>
      <c r="I27" s="46"/>
      <c r="J27" s="46"/>
    </row>
    <row r="28" spans="1:10" x14ac:dyDescent="0.25">
      <c r="B28" s="16" t="s">
        <v>0</v>
      </c>
      <c r="C28" s="9">
        <v>150</v>
      </c>
      <c r="D28" s="9">
        <v>1200</v>
      </c>
      <c r="E28" s="44"/>
      <c r="F28" s="45"/>
    </row>
    <row r="29" spans="1:10" x14ac:dyDescent="0.25">
      <c r="B29" s="16" t="s">
        <v>1</v>
      </c>
      <c r="C29" s="9">
        <v>250</v>
      </c>
      <c r="D29" s="9">
        <v>1500</v>
      </c>
      <c r="E29" s="44"/>
    </row>
    <row r="31" spans="1:10" x14ac:dyDescent="0.25">
      <c r="A31" s="41" t="s">
        <v>92</v>
      </c>
      <c r="B31" s="41"/>
      <c r="C31" s="41"/>
      <c r="D31" s="41"/>
      <c r="E31" s="41"/>
      <c r="F31" s="41"/>
      <c r="G31" s="41"/>
      <c r="H31" s="41"/>
    </row>
    <row r="32" spans="1:10" ht="15.75" thickBot="1" x14ac:dyDescent="0.3"/>
    <row r="33" spans="1:18" ht="21" customHeight="1" thickBot="1" x14ac:dyDescent="0.3">
      <c r="A33" s="20" t="s">
        <v>26</v>
      </c>
      <c r="B33" s="20" t="s">
        <v>27</v>
      </c>
      <c r="C33" s="20" t="s">
        <v>28</v>
      </c>
      <c r="D33" s="24" t="s">
        <v>29</v>
      </c>
      <c r="E33" s="24" t="s">
        <v>30</v>
      </c>
      <c r="F33" s="24" t="s">
        <v>31</v>
      </c>
      <c r="G33" s="24" t="s">
        <v>32</v>
      </c>
      <c r="H33" s="28" t="s">
        <v>97</v>
      </c>
      <c r="K33" s="25"/>
      <c r="L33" s="25"/>
      <c r="M33" s="25"/>
      <c r="N33" s="25"/>
    </row>
    <row r="34" spans="1:18" ht="15.75" thickBot="1" x14ac:dyDescent="0.3">
      <c r="A34" s="21">
        <v>1001</v>
      </c>
      <c r="B34" s="22" t="s">
        <v>33</v>
      </c>
      <c r="C34" s="22" t="s">
        <v>34</v>
      </c>
      <c r="D34" s="22" t="s">
        <v>35</v>
      </c>
      <c r="E34" s="22">
        <v>10</v>
      </c>
      <c r="F34" s="22">
        <v>50</v>
      </c>
      <c r="G34" s="23">
        <v>45296</v>
      </c>
      <c r="H34" s="27">
        <f t="shared" ref="H34:H65" si="1">(E34*F34)</f>
        <v>500</v>
      </c>
      <c r="J34" s="40" t="s">
        <v>93</v>
      </c>
      <c r="K34" s="40"/>
      <c r="L34" s="40"/>
      <c r="M34" s="40"/>
      <c r="N34" s="40"/>
      <c r="O34" s="40"/>
      <c r="P34" s="40"/>
      <c r="Q34" s="40"/>
    </row>
    <row r="35" spans="1:18" ht="15.75" thickBot="1" x14ac:dyDescent="0.3">
      <c r="A35" s="21">
        <v>1002</v>
      </c>
      <c r="B35" s="22" t="s">
        <v>36</v>
      </c>
      <c r="C35" s="22" t="s">
        <v>37</v>
      </c>
      <c r="D35" s="22" t="s">
        <v>38</v>
      </c>
      <c r="E35" s="22">
        <v>20</v>
      </c>
      <c r="F35" s="22">
        <v>10</v>
      </c>
      <c r="G35" s="23">
        <v>45297</v>
      </c>
      <c r="H35" s="27">
        <f t="shared" si="1"/>
        <v>200</v>
      </c>
      <c r="I35" s="25"/>
      <c r="J35" s="40"/>
      <c r="K35" s="40"/>
      <c r="L35" s="40"/>
      <c r="M35" s="40"/>
      <c r="N35" s="40"/>
      <c r="O35" s="40"/>
      <c r="P35" s="40"/>
      <c r="Q35" s="40"/>
    </row>
    <row r="36" spans="1:18" ht="20.25" customHeight="1" thickBot="1" x14ac:dyDescent="0.3">
      <c r="A36" s="21">
        <v>1003</v>
      </c>
      <c r="B36" s="22" t="s">
        <v>39</v>
      </c>
      <c r="C36" s="22" t="s">
        <v>40</v>
      </c>
      <c r="D36" s="22" t="s">
        <v>41</v>
      </c>
      <c r="E36" s="22">
        <v>15</v>
      </c>
      <c r="F36" s="22">
        <v>25</v>
      </c>
      <c r="G36" s="23">
        <v>45298</v>
      </c>
      <c r="H36" s="27">
        <f t="shared" si="1"/>
        <v>375</v>
      </c>
      <c r="I36" s="6"/>
      <c r="J36" s="37" t="s">
        <v>17</v>
      </c>
      <c r="K36" s="37"/>
      <c r="L36" s="38" t="s">
        <v>94</v>
      </c>
      <c r="M36" s="38"/>
      <c r="N36" s="39">
        <f>COUNTA(B34:B83)</f>
        <v>50</v>
      </c>
      <c r="O36" s="39"/>
      <c r="P36" s="38" t="s">
        <v>95</v>
      </c>
      <c r="Q36" s="38"/>
    </row>
    <row r="37" spans="1:18" ht="23.25" customHeight="1" thickBot="1" x14ac:dyDescent="0.3">
      <c r="A37" s="21">
        <v>1004</v>
      </c>
      <c r="B37" s="22" t="s">
        <v>42</v>
      </c>
      <c r="C37" s="22" t="s">
        <v>43</v>
      </c>
      <c r="D37" s="22" t="s">
        <v>35</v>
      </c>
      <c r="E37" s="22">
        <v>5</v>
      </c>
      <c r="F37" s="22">
        <v>50</v>
      </c>
      <c r="G37" s="23">
        <v>45299</v>
      </c>
      <c r="H37" s="27">
        <f t="shared" si="1"/>
        <v>250</v>
      </c>
      <c r="I37" s="26"/>
      <c r="J37" s="37"/>
      <c r="K37" s="37"/>
      <c r="L37" s="38"/>
      <c r="M37" s="38"/>
      <c r="N37" s="39"/>
      <c r="O37" s="39"/>
      <c r="P37" s="38"/>
      <c r="Q37" s="38"/>
    </row>
    <row r="38" spans="1:18" ht="15.75" thickBot="1" x14ac:dyDescent="0.3">
      <c r="A38" s="21">
        <v>1005</v>
      </c>
      <c r="B38" s="22" t="s">
        <v>44</v>
      </c>
      <c r="C38" s="22" t="s">
        <v>34</v>
      </c>
      <c r="D38" s="22" t="s">
        <v>45</v>
      </c>
      <c r="E38" s="22">
        <v>30</v>
      </c>
      <c r="F38" s="22">
        <v>5</v>
      </c>
      <c r="G38" s="23">
        <v>45301</v>
      </c>
      <c r="H38" s="27">
        <f t="shared" si="1"/>
        <v>150</v>
      </c>
      <c r="I38" s="26"/>
      <c r="J38" s="37"/>
      <c r="K38" s="37"/>
      <c r="L38" s="38"/>
      <c r="M38" s="38"/>
      <c r="N38" s="39"/>
      <c r="O38" s="39"/>
      <c r="P38" s="38"/>
      <c r="Q38" s="38"/>
    </row>
    <row r="39" spans="1:18" ht="15.75" thickBot="1" x14ac:dyDescent="0.3">
      <c r="A39" s="21">
        <v>1006</v>
      </c>
      <c r="B39" s="22" t="s">
        <v>46</v>
      </c>
      <c r="C39" s="22" t="s">
        <v>37</v>
      </c>
      <c r="D39" s="22" t="s">
        <v>35</v>
      </c>
      <c r="E39" s="22">
        <v>12</v>
      </c>
      <c r="F39" s="22">
        <v>50</v>
      </c>
      <c r="G39" s="23">
        <v>45302</v>
      </c>
      <c r="H39" s="27">
        <f t="shared" si="1"/>
        <v>600</v>
      </c>
    </row>
    <row r="40" spans="1:18" ht="15.75" thickBot="1" x14ac:dyDescent="0.3">
      <c r="A40" s="21">
        <v>1007</v>
      </c>
      <c r="B40" s="22" t="s">
        <v>47</v>
      </c>
      <c r="C40" s="22" t="s">
        <v>40</v>
      </c>
      <c r="D40" s="22" t="s">
        <v>48</v>
      </c>
      <c r="E40" s="22">
        <v>25</v>
      </c>
      <c r="F40" s="22">
        <v>8</v>
      </c>
      <c r="G40" s="23">
        <v>45304</v>
      </c>
      <c r="H40" s="27">
        <f t="shared" si="1"/>
        <v>200</v>
      </c>
    </row>
    <row r="41" spans="1:18" ht="15.75" thickBot="1" x14ac:dyDescent="0.3">
      <c r="A41" s="21">
        <v>1008</v>
      </c>
      <c r="B41" s="22" t="s">
        <v>49</v>
      </c>
      <c r="C41" s="22" t="s">
        <v>43</v>
      </c>
      <c r="D41" s="22" t="s">
        <v>38</v>
      </c>
      <c r="E41" s="22">
        <v>18</v>
      </c>
      <c r="F41" s="22">
        <v>10</v>
      </c>
      <c r="G41" s="23">
        <v>45306</v>
      </c>
      <c r="H41" s="27">
        <f t="shared" si="1"/>
        <v>180</v>
      </c>
    </row>
    <row r="42" spans="1:18" ht="15.75" thickBot="1" x14ac:dyDescent="0.3">
      <c r="A42" s="21">
        <v>1009</v>
      </c>
      <c r="B42" s="22" t="s">
        <v>50</v>
      </c>
      <c r="C42" s="22" t="s">
        <v>34</v>
      </c>
      <c r="D42" s="22" t="s">
        <v>41</v>
      </c>
      <c r="E42" s="22">
        <v>22</v>
      </c>
      <c r="F42" s="22">
        <v>25</v>
      </c>
      <c r="G42" s="23">
        <v>45308</v>
      </c>
      <c r="H42" s="27">
        <f t="shared" si="1"/>
        <v>550</v>
      </c>
      <c r="I42" s="8"/>
      <c r="J42" s="40" t="s">
        <v>96</v>
      </c>
      <c r="K42" s="40"/>
      <c r="L42" s="40"/>
      <c r="M42" s="40"/>
      <c r="N42" s="40"/>
      <c r="O42" s="40"/>
      <c r="P42" s="40"/>
      <c r="Q42" s="40"/>
    </row>
    <row r="43" spans="1:18" ht="15.75" thickBot="1" x14ac:dyDescent="0.3">
      <c r="A43" s="21">
        <v>1010</v>
      </c>
      <c r="B43" s="22" t="s">
        <v>51</v>
      </c>
      <c r="C43" s="22" t="s">
        <v>37</v>
      </c>
      <c r="D43" s="22" t="s">
        <v>35</v>
      </c>
      <c r="E43" s="22">
        <v>8</v>
      </c>
      <c r="F43" s="22">
        <v>50</v>
      </c>
      <c r="G43" s="23">
        <v>45309</v>
      </c>
      <c r="H43" s="27">
        <f t="shared" si="1"/>
        <v>400</v>
      </c>
      <c r="I43" s="8"/>
      <c r="J43" s="40"/>
      <c r="K43" s="40"/>
      <c r="L43" s="40"/>
      <c r="M43" s="40"/>
      <c r="N43" s="40"/>
      <c r="O43" s="40"/>
      <c r="P43" s="40"/>
      <c r="Q43" s="40"/>
    </row>
    <row r="44" spans="1:18" ht="15.75" customHeight="1" thickBot="1" x14ac:dyDescent="0.3">
      <c r="A44" s="21">
        <v>1011</v>
      </c>
      <c r="B44" s="22" t="s">
        <v>52</v>
      </c>
      <c r="C44" s="22" t="s">
        <v>40</v>
      </c>
      <c r="D44" s="22" t="s">
        <v>45</v>
      </c>
      <c r="E44" s="22">
        <v>40</v>
      </c>
      <c r="F44" s="22">
        <v>5</v>
      </c>
      <c r="G44" s="23">
        <v>45310</v>
      </c>
      <c r="H44" s="27">
        <f t="shared" si="1"/>
        <v>200</v>
      </c>
      <c r="J44" s="35" t="s">
        <v>99</v>
      </c>
      <c r="K44" s="35"/>
      <c r="L44" s="35"/>
      <c r="M44" s="36" t="s">
        <v>98</v>
      </c>
      <c r="N44" s="36"/>
      <c r="O44" s="36"/>
      <c r="P44" s="36"/>
      <c r="Q44" s="36"/>
    </row>
    <row r="45" spans="1:18" ht="15.75" thickBot="1" x14ac:dyDescent="0.3">
      <c r="A45" s="21">
        <v>1012</v>
      </c>
      <c r="B45" s="22" t="s">
        <v>53</v>
      </c>
      <c r="C45" s="22" t="s">
        <v>43</v>
      </c>
      <c r="D45" s="22" t="s">
        <v>48</v>
      </c>
      <c r="E45" s="22">
        <v>35</v>
      </c>
      <c r="F45" s="22">
        <v>8</v>
      </c>
      <c r="G45" s="23">
        <v>45311</v>
      </c>
      <c r="H45" s="27">
        <f t="shared" si="1"/>
        <v>280</v>
      </c>
      <c r="J45" s="35"/>
      <c r="K45" s="35"/>
      <c r="L45" s="35"/>
      <c r="M45" s="36"/>
      <c r="N45" s="36"/>
      <c r="O45" s="36"/>
      <c r="P45" s="36"/>
      <c r="Q45" s="36"/>
    </row>
    <row r="46" spans="1:18" ht="15.75" thickBot="1" x14ac:dyDescent="0.3">
      <c r="A46" s="21">
        <v>1013</v>
      </c>
      <c r="B46" s="22" t="s">
        <v>54</v>
      </c>
      <c r="C46" s="22" t="s">
        <v>34</v>
      </c>
      <c r="D46" s="22" t="s">
        <v>35</v>
      </c>
      <c r="E46" s="22">
        <v>14</v>
      </c>
      <c r="F46" s="22">
        <v>50</v>
      </c>
      <c r="G46" s="23">
        <v>45313</v>
      </c>
      <c r="H46" s="27">
        <f t="shared" si="1"/>
        <v>700</v>
      </c>
    </row>
    <row r="47" spans="1:18" ht="15.75" thickBot="1" x14ac:dyDescent="0.3">
      <c r="A47" s="21">
        <v>1014</v>
      </c>
      <c r="B47" s="22" t="s">
        <v>55</v>
      </c>
      <c r="C47" s="22" t="s">
        <v>37</v>
      </c>
      <c r="D47" s="22" t="s">
        <v>38</v>
      </c>
      <c r="E47" s="22">
        <v>28</v>
      </c>
      <c r="F47" s="22">
        <v>10</v>
      </c>
      <c r="G47" s="23">
        <v>45314</v>
      </c>
      <c r="H47" s="27">
        <f t="shared" si="1"/>
        <v>280</v>
      </c>
    </row>
    <row r="48" spans="1:18" ht="15.75" customHeight="1" thickBot="1" x14ac:dyDescent="0.3">
      <c r="A48" s="21">
        <v>1015</v>
      </c>
      <c r="B48" s="22" t="s">
        <v>56</v>
      </c>
      <c r="C48" s="22" t="s">
        <v>40</v>
      </c>
      <c r="D48" s="22" t="s">
        <v>41</v>
      </c>
      <c r="E48" s="22">
        <v>12</v>
      </c>
      <c r="F48" s="22">
        <v>25</v>
      </c>
      <c r="G48" s="23">
        <v>45315</v>
      </c>
      <c r="H48" s="27">
        <f t="shared" si="1"/>
        <v>300</v>
      </c>
      <c r="J48" s="31" t="s">
        <v>100</v>
      </c>
      <c r="K48" s="31"/>
      <c r="L48" s="31"/>
      <c r="M48" s="31"/>
      <c r="N48" s="31"/>
      <c r="O48" s="31"/>
      <c r="P48" s="31"/>
      <c r="Q48" s="31"/>
      <c r="R48" s="31"/>
    </row>
    <row r="49" spans="1:18" ht="15.75" thickBot="1" x14ac:dyDescent="0.3">
      <c r="A49" s="21">
        <v>1016</v>
      </c>
      <c r="B49" s="22" t="s">
        <v>57</v>
      </c>
      <c r="C49" s="22" t="s">
        <v>43</v>
      </c>
      <c r="D49" s="22" t="s">
        <v>45</v>
      </c>
      <c r="E49" s="22">
        <v>25</v>
      </c>
      <c r="F49" s="22">
        <v>5</v>
      </c>
      <c r="G49" s="23">
        <v>45317</v>
      </c>
      <c r="H49" s="27">
        <f t="shared" si="1"/>
        <v>125</v>
      </c>
      <c r="J49" s="31"/>
      <c r="K49" s="31"/>
      <c r="L49" s="31"/>
      <c r="M49" s="31"/>
      <c r="N49" s="31"/>
      <c r="O49" s="31"/>
      <c r="P49" s="31"/>
      <c r="Q49" s="31"/>
      <c r="R49" s="31"/>
    </row>
    <row r="50" spans="1:18" ht="16.5" customHeight="1" thickBot="1" x14ac:dyDescent="0.3">
      <c r="A50" s="21">
        <v>1017</v>
      </c>
      <c r="B50" s="22" t="s">
        <v>58</v>
      </c>
      <c r="C50" s="22" t="s">
        <v>34</v>
      </c>
      <c r="D50" s="22" t="s">
        <v>48</v>
      </c>
      <c r="E50" s="22">
        <v>20</v>
      </c>
      <c r="F50" s="22">
        <v>8</v>
      </c>
      <c r="G50" s="23">
        <v>45319</v>
      </c>
      <c r="H50" s="27">
        <f t="shared" si="1"/>
        <v>160</v>
      </c>
      <c r="J50" s="34" t="s">
        <v>101</v>
      </c>
      <c r="K50" s="34">
        <f>SUMIFS(H34:H83,C34:C83,"NORTH",D34:D83,"Notebook")</f>
        <v>2900</v>
      </c>
      <c r="L50" s="34"/>
      <c r="M50" s="33" t="s">
        <v>102</v>
      </c>
      <c r="N50" s="33"/>
      <c r="O50" s="33"/>
      <c r="P50" s="33"/>
      <c r="Q50" s="33"/>
      <c r="R50" s="33"/>
    </row>
    <row r="51" spans="1:18" ht="15.75" thickBot="1" x14ac:dyDescent="0.3">
      <c r="A51" s="21">
        <v>1018</v>
      </c>
      <c r="B51" s="22" t="s">
        <v>59</v>
      </c>
      <c r="C51" s="22" t="s">
        <v>37</v>
      </c>
      <c r="D51" s="22" t="s">
        <v>35</v>
      </c>
      <c r="E51" s="22">
        <v>10</v>
      </c>
      <c r="F51" s="22">
        <v>50</v>
      </c>
      <c r="G51" s="23">
        <v>45320</v>
      </c>
      <c r="H51" s="27">
        <f t="shared" si="1"/>
        <v>500</v>
      </c>
      <c r="J51" s="34"/>
      <c r="K51" s="34"/>
      <c r="L51" s="34"/>
      <c r="M51" s="33"/>
      <c r="N51" s="33"/>
      <c r="O51" s="33"/>
      <c r="P51" s="33"/>
      <c r="Q51" s="33"/>
      <c r="R51" s="33"/>
    </row>
    <row r="52" spans="1:18" ht="15.75" thickBot="1" x14ac:dyDescent="0.3">
      <c r="A52" s="21">
        <v>1019</v>
      </c>
      <c r="B52" s="22" t="s">
        <v>60</v>
      </c>
      <c r="C52" s="22" t="s">
        <v>40</v>
      </c>
      <c r="D52" s="22" t="s">
        <v>38</v>
      </c>
      <c r="E52" s="22">
        <v>15</v>
      </c>
      <c r="F52" s="22">
        <v>10</v>
      </c>
      <c r="G52" s="23">
        <v>45321</v>
      </c>
      <c r="H52" s="27">
        <f t="shared" si="1"/>
        <v>150</v>
      </c>
    </row>
    <row r="53" spans="1:18" ht="15.75" thickBot="1" x14ac:dyDescent="0.3">
      <c r="A53" s="21">
        <v>1020</v>
      </c>
      <c r="B53" s="22" t="s">
        <v>61</v>
      </c>
      <c r="C53" s="22" t="s">
        <v>43</v>
      </c>
      <c r="D53" s="22" t="s">
        <v>41</v>
      </c>
      <c r="E53" s="22">
        <v>18</v>
      </c>
      <c r="F53" s="22">
        <v>25</v>
      </c>
      <c r="G53" s="23">
        <v>45323</v>
      </c>
      <c r="H53" s="27">
        <f t="shared" si="1"/>
        <v>450</v>
      </c>
    </row>
    <row r="54" spans="1:18" ht="15.75" thickBot="1" x14ac:dyDescent="0.3">
      <c r="A54" s="21">
        <v>1021</v>
      </c>
      <c r="B54" s="22" t="s">
        <v>62</v>
      </c>
      <c r="C54" s="22" t="s">
        <v>34</v>
      </c>
      <c r="D54" s="22" t="s">
        <v>35</v>
      </c>
      <c r="E54" s="22">
        <v>9</v>
      </c>
      <c r="F54" s="22">
        <v>50</v>
      </c>
      <c r="G54" s="23">
        <v>45324</v>
      </c>
      <c r="H54" s="27">
        <f t="shared" si="1"/>
        <v>450</v>
      </c>
      <c r="J54" s="31" t="s">
        <v>103</v>
      </c>
      <c r="K54" s="31"/>
      <c r="L54" s="31"/>
      <c r="M54" s="31"/>
      <c r="N54" s="31"/>
      <c r="O54" s="31"/>
      <c r="P54" s="31"/>
      <c r="Q54" s="31"/>
    </row>
    <row r="55" spans="1:18" ht="15.75" thickBot="1" x14ac:dyDescent="0.3">
      <c r="A55" s="21">
        <v>1022</v>
      </c>
      <c r="B55" s="22" t="s">
        <v>63</v>
      </c>
      <c r="C55" s="22" t="s">
        <v>37</v>
      </c>
      <c r="D55" s="22" t="s">
        <v>45</v>
      </c>
      <c r="E55" s="22">
        <v>35</v>
      </c>
      <c r="F55" s="22">
        <v>5</v>
      </c>
      <c r="G55" s="23">
        <v>45325</v>
      </c>
      <c r="H55" s="27">
        <f t="shared" si="1"/>
        <v>175</v>
      </c>
      <c r="J55" s="31"/>
      <c r="K55" s="31"/>
      <c r="L55" s="31"/>
      <c r="M55" s="31"/>
      <c r="N55" s="31"/>
      <c r="O55" s="31"/>
      <c r="P55" s="31"/>
      <c r="Q55" s="31"/>
    </row>
    <row r="56" spans="1:18" ht="15.75" thickBot="1" x14ac:dyDescent="0.3">
      <c r="A56" s="21">
        <v>1023</v>
      </c>
      <c r="B56" s="22" t="s">
        <v>64</v>
      </c>
      <c r="C56" s="22" t="s">
        <v>40</v>
      </c>
      <c r="D56" s="22" t="s">
        <v>48</v>
      </c>
      <c r="E56" s="22">
        <v>30</v>
      </c>
      <c r="F56" s="22">
        <v>8</v>
      </c>
      <c r="G56" s="23">
        <v>45326</v>
      </c>
      <c r="H56" s="27">
        <f t="shared" si="1"/>
        <v>240</v>
      </c>
    </row>
    <row r="57" spans="1:18" ht="15.75" thickBot="1" x14ac:dyDescent="0.3">
      <c r="A57" s="21">
        <v>1024</v>
      </c>
      <c r="B57" s="22" t="s">
        <v>65</v>
      </c>
      <c r="C57" s="22" t="s">
        <v>43</v>
      </c>
      <c r="D57" s="22" t="s">
        <v>35</v>
      </c>
      <c r="E57" s="22">
        <v>11</v>
      </c>
      <c r="F57" s="22">
        <v>50</v>
      </c>
      <c r="G57" s="23">
        <v>45328</v>
      </c>
      <c r="H57" s="27">
        <f t="shared" si="1"/>
        <v>550</v>
      </c>
      <c r="J57" s="30" t="s">
        <v>104</v>
      </c>
      <c r="K57" s="30" t="s">
        <v>105</v>
      </c>
    </row>
    <row r="58" spans="1:18" ht="15.75" thickBot="1" x14ac:dyDescent="0.3">
      <c r="A58" s="21">
        <v>1025</v>
      </c>
      <c r="B58" s="22" t="s">
        <v>66</v>
      </c>
      <c r="C58" s="22" t="s">
        <v>34</v>
      </c>
      <c r="D58" s="22" t="s">
        <v>38</v>
      </c>
      <c r="E58" s="22">
        <v>14</v>
      </c>
      <c r="F58" s="22">
        <v>10</v>
      </c>
      <c r="G58" s="23">
        <v>45329</v>
      </c>
      <c r="H58" s="27">
        <f t="shared" si="1"/>
        <v>140</v>
      </c>
      <c r="J58" s="29" t="s">
        <v>35</v>
      </c>
      <c r="K58" s="29">
        <f>SUMIFS(H34:H83,D34:D83,"Notebook")</f>
        <v>7550</v>
      </c>
    </row>
    <row r="59" spans="1:18" ht="15.75" thickBot="1" x14ac:dyDescent="0.3">
      <c r="A59" s="21">
        <v>1026</v>
      </c>
      <c r="B59" s="22" t="s">
        <v>67</v>
      </c>
      <c r="C59" s="22" t="s">
        <v>37</v>
      </c>
      <c r="D59" s="22" t="s">
        <v>41</v>
      </c>
      <c r="E59" s="22">
        <v>16</v>
      </c>
      <c r="F59" s="22">
        <v>25</v>
      </c>
      <c r="G59" s="23">
        <v>45330</v>
      </c>
      <c r="H59" s="27">
        <f t="shared" si="1"/>
        <v>400</v>
      </c>
      <c r="J59" s="29" t="s">
        <v>38</v>
      </c>
      <c r="K59" s="29">
        <f>SUMIFS($H$34:$H$83,$D$34:$D$83,"Pen")</f>
        <v>2180</v>
      </c>
    </row>
    <row r="60" spans="1:18" ht="15.75" thickBot="1" x14ac:dyDescent="0.3">
      <c r="A60" s="21">
        <v>1027</v>
      </c>
      <c r="B60" s="22" t="s">
        <v>68</v>
      </c>
      <c r="C60" s="22" t="s">
        <v>40</v>
      </c>
      <c r="D60" s="22" t="s">
        <v>45</v>
      </c>
      <c r="E60" s="22">
        <v>22</v>
      </c>
      <c r="F60" s="22">
        <v>5</v>
      </c>
      <c r="G60" s="23">
        <v>45331</v>
      </c>
      <c r="H60" s="27">
        <f t="shared" si="1"/>
        <v>110</v>
      </c>
      <c r="J60" s="29" t="s">
        <v>45</v>
      </c>
      <c r="K60" s="29">
        <f>SUMIFS($H$34:$H$83,$D$34:$D$83,"Pencil")</f>
        <v>1235</v>
      </c>
    </row>
    <row r="61" spans="1:18" ht="15.75" thickBot="1" x14ac:dyDescent="0.3">
      <c r="A61" s="21">
        <v>1028</v>
      </c>
      <c r="B61" s="22" t="s">
        <v>69</v>
      </c>
      <c r="C61" s="22" t="s">
        <v>43</v>
      </c>
      <c r="D61" s="22" t="s">
        <v>48</v>
      </c>
      <c r="E61" s="22">
        <v>27</v>
      </c>
      <c r="F61" s="22">
        <v>8</v>
      </c>
      <c r="G61" s="23">
        <v>45332</v>
      </c>
      <c r="H61" s="27">
        <f t="shared" si="1"/>
        <v>216</v>
      </c>
      <c r="J61" s="29" t="s">
        <v>48</v>
      </c>
      <c r="K61" s="29">
        <f>SUMIFS($H$34:$H$83,$D$34:$D$83,"Eraser")</f>
        <v>1928</v>
      </c>
    </row>
    <row r="62" spans="1:18" ht="15.75" thickBot="1" x14ac:dyDescent="0.3">
      <c r="A62" s="21">
        <v>1029</v>
      </c>
      <c r="B62" s="22" t="s">
        <v>70</v>
      </c>
      <c r="C62" s="22" t="s">
        <v>34</v>
      </c>
      <c r="D62" s="22" t="s">
        <v>35</v>
      </c>
      <c r="E62" s="22">
        <v>13</v>
      </c>
      <c r="F62" s="22">
        <v>50</v>
      </c>
      <c r="G62" s="23">
        <v>45334</v>
      </c>
      <c r="H62" s="27">
        <f t="shared" si="1"/>
        <v>650</v>
      </c>
      <c r="J62" s="29" t="s">
        <v>41</v>
      </c>
      <c r="K62" s="29">
        <f>SUMIFS($H$34:$H$83,$D$34:$D$83,"Marker")</f>
        <v>3650</v>
      </c>
    </row>
    <row r="63" spans="1:18" ht="15.75" thickBot="1" x14ac:dyDescent="0.3">
      <c r="A63" s="21">
        <v>1030</v>
      </c>
      <c r="B63" s="22" t="s">
        <v>71</v>
      </c>
      <c r="C63" s="22" t="s">
        <v>37</v>
      </c>
      <c r="D63" s="22" t="s">
        <v>38</v>
      </c>
      <c r="E63" s="22">
        <v>32</v>
      </c>
      <c r="F63" s="22">
        <v>10</v>
      </c>
      <c r="G63" s="23">
        <v>45335</v>
      </c>
      <c r="H63" s="27">
        <f t="shared" si="1"/>
        <v>320</v>
      </c>
    </row>
    <row r="64" spans="1:18" ht="15.75" thickBot="1" x14ac:dyDescent="0.3">
      <c r="A64" s="21">
        <v>1031</v>
      </c>
      <c r="B64" s="22" t="s">
        <v>72</v>
      </c>
      <c r="C64" s="22" t="s">
        <v>40</v>
      </c>
      <c r="D64" s="22" t="s">
        <v>41</v>
      </c>
      <c r="E64" s="22">
        <v>10</v>
      </c>
      <c r="F64" s="22">
        <v>25</v>
      </c>
      <c r="G64" s="23">
        <v>45336</v>
      </c>
      <c r="H64" s="27">
        <f t="shared" si="1"/>
        <v>250</v>
      </c>
    </row>
    <row r="65" spans="1:21" ht="15.75" thickBot="1" x14ac:dyDescent="0.3">
      <c r="A65" s="21">
        <v>1032</v>
      </c>
      <c r="B65" s="22" t="s">
        <v>73</v>
      </c>
      <c r="C65" s="22" t="s">
        <v>43</v>
      </c>
      <c r="D65" s="22" t="s">
        <v>45</v>
      </c>
      <c r="E65" s="22">
        <v>18</v>
      </c>
      <c r="F65" s="22">
        <v>5</v>
      </c>
      <c r="G65" s="23">
        <v>45338</v>
      </c>
      <c r="H65" s="27">
        <f t="shared" si="1"/>
        <v>90</v>
      </c>
    </row>
    <row r="66" spans="1:21" ht="15.75" thickBot="1" x14ac:dyDescent="0.3">
      <c r="A66" s="21">
        <v>1033</v>
      </c>
      <c r="B66" s="22" t="s">
        <v>74</v>
      </c>
      <c r="C66" s="22" t="s">
        <v>34</v>
      </c>
      <c r="D66" s="22" t="s">
        <v>48</v>
      </c>
      <c r="E66" s="22">
        <v>22</v>
      </c>
      <c r="F66" s="22">
        <v>8</v>
      </c>
      <c r="G66" s="23">
        <v>45339</v>
      </c>
      <c r="H66" s="27">
        <f t="shared" ref="H66:H83" si="2">(E66*F66)</f>
        <v>176</v>
      </c>
    </row>
    <row r="67" spans="1:21" ht="15.75" thickBot="1" x14ac:dyDescent="0.3">
      <c r="A67" s="21">
        <v>1034</v>
      </c>
      <c r="B67" s="22" t="s">
        <v>75</v>
      </c>
      <c r="C67" s="22" t="s">
        <v>37</v>
      </c>
      <c r="D67" s="22" t="s">
        <v>35</v>
      </c>
      <c r="E67" s="22">
        <v>17</v>
      </c>
      <c r="F67" s="22">
        <v>50</v>
      </c>
      <c r="G67" s="23">
        <v>45340</v>
      </c>
      <c r="H67" s="27">
        <f t="shared" si="2"/>
        <v>850</v>
      </c>
    </row>
    <row r="68" spans="1:21" ht="15.75" thickBot="1" x14ac:dyDescent="0.3">
      <c r="A68" s="21">
        <v>1035</v>
      </c>
      <c r="B68" s="22" t="s">
        <v>76</v>
      </c>
      <c r="C68" s="22" t="s">
        <v>40</v>
      </c>
      <c r="D68" s="22" t="s">
        <v>38</v>
      </c>
      <c r="E68" s="22">
        <v>19</v>
      </c>
      <c r="F68" s="22">
        <v>10</v>
      </c>
      <c r="G68" s="23">
        <v>45341</v>
      </c>
      <c r="H68" s="27">
        <f t="shared" si="2"/>
        <v>190</v>
      </c>
    </row>
    <row r="69" spans="1:21" ht="15.75" thickBot="1" x14ac:dyDescent="0.3">
      <c r="A69" s="21">
        <v>1036</v>
      </c>
      <c r="B69" s="22" t="s">
        <v>77</v>
      </c>
      <c r="C69" s="22" t="s">
        <v>43</v>
      </c>
      <c r="D69" s="22" t="s">
        <v>41</v>
      </c>
      <c r="E69" s="22">
        <v>15</v>
      </c>
      <c r="F69" s="22">
        <v>25</v>
      </c>
      <c r="G69" s="23">
        <v>45343</v>
      </c>
      <c r="H69" s="27">
        <f t="shared" si="2"/>
        <v>375</v>
      </c>
    </row>
    <row r="70" spans="1:21" ht="15.75" thickBot="1" x14ac:dyDescent="0.3">
      <c r="A70" s="21">
        <v>1037</v>
      </c>
      <c r="B70" s="22" t="s">
        <v>78</v>
      </c>
      <c r="C70" s="22" t="s">
        <v>34</v>
      </c>
      <c r="D70" s="22" t="s">
        <v>45</v>
      </c>
      <c r="E70" s="22">
        <v>28</v>
      </c>
      <c r="F70" s="22">
        <v>5</v>
      </c>
      <c r="G70" s="23">
        <v>45344</v>
      </c>
      <c r="H70" s="27">
        <f t="shared" si="2"/>
        <v>140</v>
      </c>
    </row>
    <row r="71" spans="1:21" ht="15.75" thickBot="1" x14ac:dyDescent="0.3">
      <c r="A71" s="21">
        <v>1038</v>
      </c>
      <c r="B71" s="22" t="s">
        <v>79</v>
      </c>
      <c r="C71" s="22" t="s">
        <v>37</v>
      </c>
      <c r="D71" s="22" t="s">
        <v>48</v>
      </c>
      <c r="E71" s="22">
        <v>24</v>
      </c>
      <c r="F71" s="22">
        <v>8</v>
      </c>
      <c r="G71" s="23">
        <v>45345</v>
      </c>
      <c r="H71" s="27">
        <f t="shared" si="2"/>
        <v>192</v>
      </c>
    </row>
    <row r="72" spans="1:21" ht="15.75" thickBot="1" x14ac:dyDescent="0.3">
      <c r="A72" s="21">
        <v>1039</v>
      </c>
      <c r="B72" s="22" t="s">
        <v>80</v>
      </c>
      <c r="C72" s="22" t="s">
        <v>40</v>
      </c>
      <c r="D72" s="22" t="s">
        <v>35</v>
      </c>
      <c r="E72" s="22">
        <v>16</v>
      </c>
      <c r="F72" s="22">
        <v>50</v>
      </c>
      <c r="G72" s="23">
        <v>45347</v>
      </c>
      <c r="H72" s="27">
        <f t="shared" si="2"/>
        <v>800</v>
      </c>
    </row>
    <row r="73" spans="1:21" ht="15.75" thickBot="1" x14ac:dyDescent="0.3">
      <c r="A73" s="21">
        <v>1040</v>
      </c>
      <c r="B73" s="22" t="s">
        <v>81</v>
      </c>
      <c r="C73" s="22" t="s">
        <v>43</v>
      </c>
      <c r="D73" s="22" t="s">
        <v>38</v>
      </c>
      <c r="E73" s="22">
        <v>27</v>
      </c>
      <c r="F73" s="22">
        <v>10</v>
      </c>
      <c r="G73" s="23">
        <v>45348</v>
      </c>
      <c r="H73" s="27">
        <f t="shared" si="2"/>
        <v>270</v>
      </c>
      <c r="I73" s="32" t="s">
        <v>106</v>
      </c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</row>
    <row r="74" spans="1:21" ht="15.75" thickBot="1" x14ac:dyDescent="0.3">
      <c r="A74" s="21">
        <v>1041</v>
      </c>
      <c r="B74" s="22" t="s">
        <v>82</v>
      </c>
      <c r="C74" s="22" t="s">
        <v>34</v>
      </c>
      <c r="D74" s="22" t="s">
        <v>41</v>
      </c>
      <c r="E74" s="22">
        <v>21</v>
      </c>
      <c r="F74" s="22">
        <v>25</v>
      </c>
      <c r="G74" s="23">
        <v>45349</v>
      </c>
      <c r="H74" s="27">
        <f t="shared" si="2"/>
        <v>525</v>
      </c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</row>
    <row r="75" spans="1:21" ht="15.75" thickBot="1" x14ac:dyDescent="0.3">
      <c r="A75" s="21">
        <v>1042</v>
      </c>
      <c r="B75" s="22" t="s">
        <v>83</v>
      </c>
      <c r="C75" s="22" t="s">
        <v>37</v>
      </c>
      <c r="D75" s="22" t="s">
        <v>45</v>
      </c>
      <c r="E75" s="22">
        <v>30</v>
      </c>
      <c r="F75" s="22">
        <v>5</v>
      </c>
      <c r="G75" s="23">
        <v>45350</v>
      </c>
      <c r="H75" s="27">
        <f t="shared" si="2"/>
        <v>150</v>
      </c>
    </row>
    <row r="76" spans="1:21" ht="15.75" thickBot="1" x14ac:dyDescent="0.3">
      <c r="A76" s="21">
        <v>1043</v>
      </c>
      <c r="B76" s="22" t="s">
        <v>84</v>
      </c>
      <c r="C76" s="22" t="s">
        <v>40</v>
      </c>
      <c r="D76" s="22" t="s">
        <v>48</v>
      </c>
      <c r="E76" s="22">
        <v>26</v>
      </c>
      <c r="F76" s="22">
        <v>8</v>
      </c>
      <c r="G76" s="23">
        <v>45352</v>
      </c>
      <c r="H76" s="27">
        <f t="shared" si="2"/>
        <v>208</v>
      </c>
    </row>
    <row r="77" spans="1:21" ht="15.75" thickBot="1" x14ac:dyDescent="0.3">
      <c r="A77" s="21">
        <v>1044</v>
      </c>
      <c r="B77" s="22" t="s">
        <v>85</v>
      </c>
      <c r="C77" s="22" t="s">
        <v>43</v>
      </c>
      <c r="D77" s="22" t="s">
        <v>35</v>
      </c>
      <c r="E77" s="22">
        <v>14</v>
      </c>
      <c r="F77" s="22">
        <v>50</v>
      </c>
      <c r="G77" s="23">
        <v>45353</v>
      </c>
      <c r="H77" s="27">
        <f t="shared" si="2"/>
        <v>700</v>
      </c>
    </row>
    <row r="78" spans="1:21" ht="15.75" thickBot="1" x14ac:dyDescent="0.3">
      <c r="A78" s="21">
        <v>1045</v>
      </c>
      <c r="B78" s="22" t="s">
        <v>86</v>
      </c>
      <c r="C78" s="22" t="s">
        <v>34</v>
      </c>
      <c r="D78" s="22" t="s">
        <v>38</v>
      </c>
      <c r="E78" s="22">
        <v>20</v>
      </c>
      <c r="F78" s="22">
        <v>10</v>
      </c>
      <c r="G78" s="23">
        <v>45354</v>
      </c>
      <c r="H78" s="27">
        <f t="shared" si="2"/>
        <v>200</v>
      </c>
    </row>
    <row r="79" spans="1:21" ht="15.75" thickBot="1" x14ac:dyDescent="0.3">
      <c r="A79" s="21">
        <v>1046</v>
      </c>
      <c r="B79" s="22" t="s">
        <v>87</v>
      </c>
      <c r="C79" s="22" t="s">
        <v>37</v>
      </c>
      <c r="D79" s="22" t="s">
        <v>41</v>
      </c>
      <c r="E79" s="22">
        <v>17</v>
      </c>
      <c r="F79" s="22">
        <v>25</v>
      </c>
      <c r="G79" s="23">
        <v>45355</v>
      </c>
      <c r="H79" s="27">
        <f t="shared" si="2"/>
        <v>425</v>
      </c>
    </row>
    <row r="80" spans="1:21" ht="15.75" thickBot="1" x14ac:dyDescent="0.3">
      <c r="A80" s="21">
        <v>1047</v>
      </c>
      <c r="B80" s="22" t="s">
        <v>88</v>
      </c>
      <c r="C80" s="22" t="s">
        <v>40</v>
      </c>
      <c r="D80" s="22" t="s">
        <v>45</v>
      </c>
      <c r="E80" s="22">
        <v>19</v>
      </c>
      <c r="F80" s="22">
        <v>5</v>
      </c>
      <c r="G80" s="23">
        <v>45356</v>
      </c>
      <c r="H80" s="27">
        <f t="shared" si="2"/>
        <v>95</v>
      </c>
    </row>
    <row r="81" spans="1:8" ht="15.75" thickBot="1" x14ac:dyDescent="0.3">
      <c r="A81" s="21">
        <v>1048</v>
      </c>
      <c r="B81" s="22" t="s">
        <v>89</v>
      </c>
      <c r="C81" s="22" t="s">
        <v>43</v>
      </c>
      <c r="D81" s="22" t="s">
        <v>48</v>
      </c>
      <c r="E81" s="22">
        <v>32</v>
      </c>
      <c r="F81" s="22">
        <v>8</v>
      </c>
      <c r="G81" s="23">
        <v>45357</v>
      </c>
      <c r="H81" s="27">
        <f t="shared" si="2"/>
        <v>256</v>
      </c>
    </row>
    <row r="82" spans="1:8" ht="15.75" thickBot="1" x14ac:dyDescent="0.3">
      <c r="A82" s="21">
        <v>1049</v>
      </c>
      <c r="B82" s="22" t="s">
        <v>90</v>
      </c>
      <c r="C82" s="22" t="s">
        <v>34</v>
      </c>
      <c r="D82" s="22" t="s">
        <v>35</v>
      </c>
      <c r="E82" s="22">
        <v>12</v>
      </c>
      <c r="F82" s="22">
        <v>50</v>
      </c>
      <c r="G82" s="23">
        <v>45358</v>
      </c>
      <c r="H82" s="27">
        <f t="shared" si="2"/>
        <v>600</v>
      </c>
    </row>
    <row r="83" spans="1:8" ht="15.75" thickBot="1" x14ac:dyDescent="0.3">
      <c r="A83" s="21">
        <v>1050</v>
      </c>
      <c r="B83" s="22" t="s">
        <v>91</v>
      </c>
      <c r="C83" s="22" t="s">
        <v>37</v>
      </c>
      <c r="D83" s="22" t="s">
        <v>38</v>
      </c>
      <c r="E83" s="22">
        <v>25</v>
      </c>
      <c r="F83" s="22">
        <v>10</v>
      </c>
      <c r="G83" s="23">
        <v>45359</v>
      </c>
      <c r="H83" s="27">
        <f t="shared" si="2"/>
        <v>250</v>
      </c>
    </row>
  </sheetData>
  <mergeCells count="28">
    <mergeCell ref="J34:Q35"/>
    <mergeCell ref="J42:Q43"/>
    <mergeCell ref="A31:H31"/>
    <mergeCell ref="J8:J9"/>
    <mergeCell ref="H8:H9"/>
    <mergeCell ref="I8:I9"/>
    <mergeCell ref="E26:E29"/>
    <mergeCell ref="F27:F28"/>
    <mergeCell ref="H27:J27"/>
    <mergeCell ref="H26:J26"/>
    <mergeCell ref="A22:G24"/>
    <mergeCell ref="A14:E14"/>
    <mergeCell ref="D16:D19"/>
    <mergeCell ref="E17:E18"/>
    <mergeCell ref="A2:D12"/>
    <mergeCell ref="E3:E6"/>
    <mergeCell ref="J48:R49"/>
    <mergeCell ref="J44:L45"/>
    <mergeCell ref="M44:Q45"/>
    <mergeCell ref="J36:K38"/>
    <mergeCell ref="L36:M38"/>
    <mergeCell ref="N36:O38"/>
    <mergeCell ref="P36:Q38"/>
    <mergeCell ref="J54:Q55"/>
    <mergeCell ref="I73:U74"/>
    <mergeCell ref="M50:R51"/>
    <mergeCell ref="J50:J51"/>
    <mergeCell ref="K50:L51"/>
  </mergeCells>
  <phoneticPr fontId="8" type="noConversion"/>
  <pageMargins left="0.7" right="0.7" top="0.75" bottom="0.75" header="0.3" footer="0.3"/>
  <ignoredErrors>
    <ignoredError sqref="E17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Question-1 and Answer-1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 yadav</dc:creator>
  <cp:lastModifiedBy>ashu yadav</cp:lastModifiedBy>
  <dcterms:created xsi:type="dcterms:W3CDTF">2025-11-15T07:29:11Z</dcterms:created>
  <dcterms:modified xsi:type="dcterms:W3CDTF">2025-11-16T02:42:27Z</dcterms:modified>
</cp:coreProperties>
</file>